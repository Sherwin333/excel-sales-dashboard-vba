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erwin\Desktop\del pro\"/>
    </mc:Choice>
  </mc:AlternateContent>
  <xr:revisionPtr revIDLastSave="0" documentId="13_ncr:1_{F0906654-7D17-47FB-A80D-7ED4FDBE5683}" xr6:coauthVersionLast="47" xr6:coauthVersionMax="47" xr10:uidLastSave="{00000000-0000-0000-0000-000000000000}"/>
  <bookViews>
    <workbookView xWindow="-110" yWindow="-110" windowWidth="25820" windowHeight="13900" tabRatio="500" xr2:uid="{00000000-000D-0000-FFFF-FFFF00000000}"/>
  </bookViews>
  <sheets>
    <sheet name="Raw Data" sheetId="1" r:id="rId1"/>
    <sheet name="Monthly Summary" sheetId="2" r:id="rId2"/>
    <sheet name="Region View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6" i="3" l="1"/>
  <c r="C6" i="3"/>
  <c r="B6" i="3"/>
  <c r="D6" i="3" s="1"/>
  <c r="E5" i="3"/>
  <c r="C5" i="3"/>
  <c r="B5" i="3"/>
  <c r="D5" i="3" s="1"/>
  <c r="E4" i="3"/>
  <c r="C4" i="3"/>
  <c r="B4" i="3"/>
  <c r="D4" i="3" s="1"/>
  <c r="E3" i="3"/>
  <c r="C3" i="3"/>
  <c r="C7" i="3" s="1"/>
  <c r="B3" i="3"/>
  <c r="B7" i="3" s="1"/>
  <c r="D7" i="3" s="1"/>
  <c r="D3" i="3" l="1"/>
</calcChain>
</file>

<file path=xl/sharedStrings.xml><?xml version="1.0" encoding="utf-8"?>
<sst xmlns="http://schemas.openxmlformats.org/spreadsheetml/2006/main" count="158" uniqueCount="44">
  <si>
    <t>Month</t>
  </si>
  <si>
    <t>Region</t>
  </si>
  <si>
    <t>Category</t>
  </si>
  <si>
    <t>Sales (₹)</t>
  </si>
  <si>
    <t>Units Sold</t>
  </si>
  <si>
    <t>Target (₹)</t>
  </si>
  <si>
    <t>Jan</t>
  </si>
  <si>
    <t>North</t>
  </si>
  <si>
    <t>Electronics</t>
  </si>
  <si>
    <t>South</t>
  </si>
  <si>
    <t>East</t>
  </si>
  <si>
    <t>Clothing</t>
  </si>
  <si>
    <t>West</t>
  </si>
  <si>
    <t>Furniture</t>
  </si>
  <si>
    <t>Feb</t>
  </si>
  <si>
    <t>Mar</t>
  </si>
  <si>
    <t>Apr</t>
  </si>
  <si>
    <t>May</t>
  </si>
  <si>
    <t>Jun</t>
  </si>
  <si>
    <t>📊  Monthly Sales Performance Report</t>
  </si>
  <si>
    <t>Auto-generated by VBA Macro  |  Source: Raw Data sheet</t>
  </si>
  <si>
    <t>SECTION A — Monthly Sales vs Target</t>
  </si>
  <si>
    <t>Total Sales (₹)</t>
  </si>
  <si>
    <t>Total Target (₹)</t>
  </si>
  <si>
    <t>Variance (₹)</t>
  </si>
  <si>
    <t>% Achievement</t>
  </si>
  <si>
    <t>Status</t>
  </si>
  <si>
    <t>Top Region</t>
  </si>
  <si>
    <t>SECTION B — Category Breakdown</t>
  </si>
  <si>
    <t>Total Units</t>
  </si>
  <si>
    <t>Avg Sale/Unit (₹)</t>
  </si>
  <si>
    <t>% of Total Sales</t>
  </si>
  <si>
    <t>Best Month</t>
  </si>
  <si>
    <t>SECTION C — Key Performance Indicators</t>
  </si>
  <si>
    <t>Total Revenue</t>
  </si>
  <si>
    <t>Avg Monthly Sales</t>
  </si>
  <si>
    <t>Overall % Achievement</t>
  </si>
  <si>
    <t>Top Category</t>
  </si>
  <si>
    <t>▶  Click the 'Generate Report' button above to populate this sheet from Raw Data</t>
  </si>
  <si>
    <t>Regional Performance Overview</t>
  </si>
  <si>
    <t>Avg Sale (₹)</t>
  </si>
  <si>
    <t>Categories Sold</t>
  </si>
  <si>
    <t>TOTAL</t>
  </si>
  <si>
    <t>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</si>
</sst>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₹#,##0"/>
    <numFmt numFmtId="166" formatCode="[$?-4009]\ #,##0"/>
    <numFmt numFmtId="167" formatCode="0.0%"/>
  </numFmts>
  <fonts count="10" x14ac:knownFonts="1">
    <font>
      <sz val="11"/>
      <color theme="1"/>
      <name val="Calibri"/>
      <family val="2"/>
      <charset val="1"/>
    </font>
    <font>
      <b/>
      <sz val="11"/>
      <color rgb="FFFFFFFF"/>
      <name val="Arial"/>
      <charset val="1"/>
    </font>
    <font>
      <sz val="10"/>
      <color rgb="FF1A1A1A"/>
      <name val="Arial"/>
      <charset val="1"/>
    </font>
    <font>
      <b/>
      <sz val="16"/>
      <color rgb="FFFFFFFF"/>
      <name val="Arial"/>
      <charset val="1"/>
    </font>
    <font>
      <i/>
      <sz val="9"/>
      <color rgb="FF777777"/>
      <name val="Arial"/>
      <charset val="1"/>
    </font>
    <font>
      <b/>
      <sz val="10"/>
      <color rgb="FF1A1A1A"/>
      <name val="Arial"/>
      <charset val="1"/>
    </font>
    <font>
      <b/>
      <sz val="9"/>
      <color rgb="FFFFFFFF"/>
      <name val="Arial"/>
      <charset val="1"/>
    </font>
    <font>
      <b/>
      <sz val="13"/>
      <color rgb="FF1B4F8A"/>
      <name val="Arial"/>
      <charset val="1"/>
    </font>
    <font>
      <i/>
      <sz val="10"/>
      <color rgb="FF555555"/>
      <name val="Arial"/>
      <charset val="1"/>
    </font>
    <font>
      <b/>
      <sz val="14"/>
      <color rgb="FFFFFFFF"/>
      <name val="Arial"/>
      <charset val="1"/>
    </font>
  </fonts>
  <fills count="7">
    <fill>
      <patternFill patternType="none"/>
    </fill>
    <fill>
      <patternFill patternType="gray125"/>
    </fill>
    <fill>
      <patternFill patternType="solid">
        <fgColor rgb="FF1B4F8A"/>
        <bgColor rgb="FF003366"/>
      </patternFill>
    </fill>
    <fill>
      <patternFill patternType="solid">
        <fgColor rgb="FFF5F7FA"/>
        <bgColor rgb="FFFFFFFF"/>
      </patternFill>
    </fill>
    <fill>
      <patternFill patternType="solid">
        <fgColor rgb="FFFFFFFF"/>
        <bgColor rgb="FFF5F7FA"/>
      </patternFill>
    </fill>
    <fill>
      <patternFill patternType="solid">
        <fgColor rgb="FFE8702A"/>
        <bgColor rgb="FFFF8080"/>
      </patternFill>
    </fill>
    <fill>
      <patternFill patternType="solid">
        <fgColor rgb="FFD6E4F0"/>
        <bgColor rgb="FFCCFFFF"/>
      </patternFill>
    </fill>
  </fills>
  <borders count="3">
    <border>
      <left/>
      <right/>
      <top/>
      <bottom/>
      <diagonal/>
    </border>
    <border>
      <left style="medium">
        <color rgb="FF1B4F8A"/>
      </left>
      <right style="medium">
        <color rgb="FF1B4F8A"/>
      </right>
      <top style="medium">
        <color rgb="FF1B4F8A"/>
      </top>
      <bottom style="medium">
        <color rgb="FF1B4F8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right" vertical="center"/>
    </xf>
    <xf numFmtId="3" fontId="2" fillId="3" borderId="2" xfId="0" applyNumberFormat="1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center" vertical="center" wrapText="1"/>
    </xf>
    <xf numFmtId="164" fontId="2" fillId="4" borderId="2" xfId="0" applyNumberFormat="1" applyFont="1" applyFill="1" applyBorder="1" applyAlignment="1">
      <alignment horizontal="right" vertical="center"/>
    </xf>
    <xf numFmtId="3" fontId="2" fillId="4" borderId="2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3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8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166" fontId="2" fillId="3" borderId="2" xfId="0" applyNumberFormat="1" applyFont="1" applyFill="1" applyBorder="1" applyAlignment="1">
      <alignment horizontal="center" vertical="center" wrapText="1"/>
    </xf>
    <xf numFmtId="167" fontId="2" fillId="3" borderId="2" xfId="0" applyNumberFormat="1" applyFont="1" applyFill="1" applyBorder="1" applyAlignment="1">
      <alignment horizontal="center" vertical="center" wrapText="1"/>
    </xf>
    <xf numFmtId="166" fontId="2" fillId="4" borderId="2" xfId="0" applyNumberFormat="1" applyFont="1" applyFill="1" applyBorder="1" applyAlignment="1">
      <alignment horizontal="center" vertical="center" wrapText="1"/>
    </xf>
    <xf numFmtId="167" fontId="2" fillId="4" borderId="2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3" borderId="2" xfId="0" applyNumberFormat="1" applyFont="1" applyFill="1" applyBorder="1" applyAlignment="1">
      <alignment horizontal="center" vertical="center" wrapText="1"/>
    </xf>
    <xf numFmtId="166" fontId="7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 wrapText="1"/>
    </xf>
    <xf numFmtId="167" fontId="7" fillId="0" borderId="2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777777"/>
      <rgbColor rgb="FF9999FF"/>
      <rgbColor rgb="FF993366"/>
      <rgbColor rgb="FFF5F7FA"/>
      <rgbColor rgb="FFCCFFFF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8702A"/>
      <rgbColor rgb="FF555555"/>
      <rgbColor rgb="FF969696"/>
      <rgbColor rgb="FF003366"/>
      <rgbColor rgb="FF339966"/>
      <rgbColor rgb="FF003300"/>
      <rgbColor rgb="FF333300"/>
      <rgbColor rgb="FF993300"/>
      <rgbColor rgb="FF993366"/>
      <rgbColor rgb="FF1B4F8A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showGridLines="0" tabSelected="1" zoomScaleNormal="100" workbookViewId="0">
      <pane ySplit="1" topLeftCell="A2" activePane="bottomLeft" state="frozen"/>
      <selection pane="bottomLeft" activeCell="S12" sqref="S12"/>
    </sheetView>
  </sheetViews>
  <sheetFormatPr defaultColWidth="8.6328125" defaultRowHeight="14.5" x14ac:dyDescent="0.35"/>
  <cols>
    <col min="1" max="1" width="10" customWidth="1"/>
    <col min="2" max="2" width="12" customWidth="1"/>
    <col min="3" max="4" width="14" customWidth="1"/>
    <col min="5" max="5" width="13" customWidth="1"/>
    <col min="6" max="6" width="14" customWidth="1"/>
  </cols>
  <sheetData>
    <row r="1" spans="1:6" ht="30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9.5" customHeight="1" x14ac:dyDescent="0.35">
      <c r="A2" s="2" t="s">
        <v>6</v>
      </c>
      <c r="B2" s="2" t="s">
        <v>7</v>
      </c>
      <c r="C2" s="2" t="s">
        <v>8</v>
      </c>
      <c r="D2" s="3">
        <v>84500</v>
      </c>
      <c r="E2" s="4">
        <v>142</v>
      </c>
      <c r="F2" s="3">
        <v>80000</v>
      </c>
    </row>
    <row r="3" spans="1:6" ht="19.5" customHeight="1" x14ac:dyDescent="0.35">
      <c r="A3" s="5" t="s">
        <v>6</v>
      </c>
      <c r="B3" s="5" t="s">
        <v>9</v>
      </c>
      <c r="C3" s="5" t="s">
        <v>8</v>
      </c>
      <c r="D3" s="6">
        <v>61200</v>
      </c>
      <c r="E3" s="7">
        <v>98</v>
      </c>
      <c r="F3" s="6">
        <v>65000</v>
      </c>
    </row>
    <row r="4" spans="1:6" ht="19.5" customHeight="1" x14ac:dyDescent="0.35">
      <c r="A4" s="2" t="s">
        <v>6</v>
      </c>
      <c r="B4" s="2" t="s">
        <v>10</v>
      </c>
      <c r="C4" s="2" t="s">
        <v>11</v>
      </c>
      <c r="D4" s="3">
        <v>37800</v>
      </c>
      <c r="E4" s="4">
        <v>320</v>
      </c>
      <c r="F4" s="3">
        <v>40000</v>
      </c>
    </row>
    <row r="5" spans="1:6" ht="19.5" customHeight="1" x14ac:dyDescent="0.35">
      <c r="A5" s="5" t="s">
        <v>6</v>
      </c>
      <c r="B5" s="5" t="s">
        <v>12</v>
      </c>
      <c r="C5" s="5" t="s">
        <v>11</v>
      </c>
      <c r="D5" s="6">
        <v>42100</v>
      </c>
      <c r="E5" s="7">
        <v>358</v>
      </c>
      <c r="F5" s="6">
        <v>38000</v>
      </c>
    </row>
    <row r="6" spans="1:6" ht="19.5" customHeight="1" x14ac:dyDescent="0.35">
      <c r="A6" s="2" t="s">
        <v>6</v>
      </c>
      <c r="B6" s="2" t="s">
        <v>7</v>
      </c>
      <c r="C6" s="2" t="s">
        <v>13</v>
      </c>
      <c r="D6" s="3">
        <v>29300</v>
      </c>
      <c r="E6" s="4">
        <v>47</v>
      </c>
      <c r="F6" s="3">
        <v>30000</v>
      </c>
    </row>
    <row r="7" spans="1:6" ht="19.5" customHeight="1" x14ac:dyDescent="0.35">
      <c r="A7" s="5" t="s">
        <v>14</v>
      </c>
      <c r="B7" s="5" t="s">
        <v>9</v>
      </c>
      <c r="C7" s="5" t="s">
        <v>13</v>
      </c>
      <c r="D7" s="6">
        <v>33600</v>
      </c>
      <c r="E7" s="7">
        <v>54</v>
      </c>
      <c r="F7" s="6">
        <v>32000</v>
      </c>
    </row>
    <row r="8" spans="1:6" ht="19.5" customHeight="1" x14ac:dyDescent="0.35">
      <c r="A8" s="2" t="s">
        <v>14</v>
      </c>
      <c r="B8" s="2" t="s">
        <v>10</v>
      </c>
      <c r="C8" s="2" t="s">
        <v>8</v>
      </c>
      <c r="D8" s="3">
        <v>71400</v>
      </c>
      <c r="E8" s="4">
        <v>115</v>
      </c>
      <c r="F8" s="3">
        <v>70000</v>
      </c>
    </row>
    <row r="9" spans="1:6" ht="19.5" customHeight="1" x14ac:dyDescent="0.35">
      <c r="A9" s="5" t="s">
        <v>14</v>
      </c>
      <c r="B9" s="5" t="s">
        <v>12</v>
      </c>
      <c r="C9" s="5" t="s">
        <v>8</v>
      </c>
      <c r="D9" s="6">
        <v>68900</v>
      </c>
      <c r="E9" s="7">
        <v>110</v>
      </c>
      <c r="F9" s="6">
        <v>72000</v>
      </c>
    </row>
    <row r="10" spans="1:6" ht="19.5" customHeight="1" x14ac:dyDescent="0.35">
      <c r="A10" s="2" t="s">
        <v>14</v>
      </c>
      <c r="B10" s="2" t="s">
        <v>7</v>
      </c>
      <c r="C10" s="2" t="s">
        <v>11</v>
      </c>
      <c r="D10" s="3">
        <v>44200</v>
      </c>
      <c r="E10" s="4">
        <v>376</v>
      </c>
      <c r="F10" s="3">
        <v>42000</v>
      </c>
    </row>
    <row r="11" spans="1:6" ht="19.5" customHeight="1" x14ac:dyDescent="0.35">
      <c r="A11" s="5" t="s">
        <v>14</v>
      </c>
      <c r="B11" s="5" t="s">
        <v>9</v>
      </c>
      <c r="C11" s="5" t="s">
        <v>11</v>
      </c>
      <c r="D11" s="6">
        <v>38700</v>
      </c>
      <c r="E11" s="7">
        <v>329</v>
      </c>
      <c r="F11" s="6">
        <v>40000</v>
      </c>
    </row>
    <row r="12" spans="1:6" ht="19.5" customHeight="1" x14ac:dyDescent="0.35">
      <c r="A12" s="2" t="s">
        <v>15</v>
      </c>
      <c r="B12" s="2" t="s">
        <v>10</v>
      </c>
      <c r="C12" s="2" t="s">
        <v>13</v>
      </c>
      <c r="D12" s="3">
        <v>27500</v>
      </c>
      <c r="E12" s="4">
        <v>44</v>
      </c>
      <c r="F12" s="3">
        <v>28000</v>
      </c>
    </row>
    <row r="13" spans="1:6" ht="19.5" customHeight="1" x14ac:dyDescent="0.35">
      <c r="A13" s="5" t="s">
        <v>15</v>
      </c>
      <c r="B13" s="5" t="s">
        <v>12</v>
      </c>
      <c r="C13" s="5" t="s">
        <v>13</v>
      </c>
      <c r="D13" s="6">
        <v>31800</v>
      </c>
      <c r="E13" s="7">
        <v>51</v>
      </c>
      <c r="F13" s="6">
        <v>30000</v>
      </c>
    </row>
    <row r="14" spans="1:6" ht="19.5" customHeight="1" x14ac:dyDescent="0.35">
      <c r="A14" s="2" t="s">
        <v>15</v>
      </c>
      <c r="B14" s="2" t="s">
        <v>7</v>
      </c>
      <c r="C14" s="2" t="s">
        <v>8</v>
      </c>
      <c r="D14" s="3">
        <v>91200</v>
      </c>
      <c r="E14" s="4">
        <v>153</v>
      </c>
      <c r="F14" s="3">
        <v>85000</v>
      </c>
    </row>
    <row r="15" spans="1:6" ht="19.5" customHeight="1" x14ac:dyDescent="0.35">
      <c r="A15" s="5" t="s">
        <v>15</v>
      </c>
      <c r="B15" s="5" t="s">
        <v>9</v>
      </c>
      <c r="C15" s="5" t="s">
        <v>8</v>
      </c>
      <c r="D15" s="6">
        <v>74600</v>
      </c>
      <c r="E15" s="7">
        <v>119</v>
      </c>
      <c r="F15" s="6">
        <v>75000</v>
      </c>
    </row>
    <row r="16" spans="1:6" ht="19.5" customHeight="1" x14ac:dyDescent="0.35">
      <c r="A16" s="2" t="s">
        <v>15</v>
      </c>
      <c r="B16" s="2" t="s">
        <v>10</v>
      </c>
      <c r="C16" s="2" t="s">
        <v>11</v>
      </c>
      <c r="D16" s="3">
        <v>49100</v>
      </c>
      <c r="E16" s="4">
        <v>418</v>
      </c>
      <c r="F16" s="3">
        <v>46000</v>
      </c>
    </row>
    <row r="17" spans="1:6" ht="19.5" customHeight="1" x14ac:dyDescent="0.35">
      <c r="A17" s="5" t="s">
        <v>16</v>
      </c>
      <c r="B17" s="5" t="s">
        <v>12</v>
      </c>
      <c r="C17" s="5" t="s">
        <v>11</v>
      </c>
      <c r="D17" s="6">
        <v>46300</v>
      </c>
      <c r="E17" s="7">
        <v>394</v>
      </c>
      <c r="F17" s="6">
        <v>44000</v>
      </c>
    </row>
    <row r="18" spans="1:6" ht="19.5" customHeight="1" x14ac:dyDescent="0.35">
      <c r="A18" s="2" t="s">
        <v>16</v>
      </c>
      <c r="B18" s="2" t="s">
        <v>7</v>
      </c>
      <c r="C18" s="2" t="s">
        <v>13</v>
      </c>
      <c r="D18" s="3">
        <v>35700</v>
      </c>
      <c r="E18" s="4">
        <v>57</v>
      </c>
      <c r="F18" s="3">
        <v>34000</v>
      </c>
    </row>
    <row r="19" spans="1:6" ht="19.5" customHeight="1" x14ac:dyDescent="0.35">
      <c r="A19" s="5" t="s">
        <v>16</v>
      </c>
      <c r="B19" s="5" t="s">
        <v>9</v>
      </c>
      <c r="C19" s="5" t="s">
        <v>13</v>
      </c>
      <c r="D19" s="6">
        <v>28900</v>
      </c>
      <c r="E19" s="7">
        <v>46</v>
      </c>
      <c r="F19" s="6">
        <v>30000</v>
      </c>
    </row>
    <row r="20" spans="1:6" ht="19.5" customHeight="1" x14ac:dyDescent="0.35">
      <c r="A20" s="2" t="s">
        <v>16</v>
      </c>
      <c r="B20" s="2" t="s">
        <v>10</v>
      </c>
      <c r="C20" s="2" t="s">
        <v>8</v>
      </c>
      <c r="D20" s="3">
        <v>78300</v>
      </c>
      <c r="E20" s="4">
        <v>125</v>
      </c>
      <c r="F20" s="3">
        <v>76000</v>
      </c>
    </row>
    <row r="21" spans="1:6" ht="19.5" customHeight="1" x14ac:dyDescent="0.35">
      <c r="A21" s="5" t="s">
        <v>16</v>
      </c>
      <c r="B21" s="5" t="s">
        <v>12</v>
      </c>
      <c r="C21" s="5" t="s">
        <v>8</v>
      </c>
      <c r="D21" s="6">
        <v>82100</v>
      </c>
      <c r="E21" s="7">
        <v>131</v>
      </c>
      <c r="F21" s="6">
        <v>80000</v>
      </c>
    </row>
    <row r="22" spans="1:6" ht="19.5" customHeight="1" x14ac:dyDescent="0.35">
      <c r="A22" s="2" t="s">
        <v>17</v>
      </c>
      <c r="B22" s="2" t="s">
        <v>7</v>
      </c>
      <c r="C22" s="2" t="s">
        <v>11</v>
      </c>
      <c r="D22" s="3">
        <v>51400</v>
      </c>
      <c r="E22" s="4">
        <v>437</v>
      </c>
      <c r="F22" s="3">
        <v>49000</v>
      </c>
    </row>
    <row r="23" spans="1:6" ht="19.5" customHeight="1" x14ac:dyDescent="0.35">
      <c r="A23" s="5" t="s">
        <v>17</v>
      </c>
      <c r="B23" s="5" t="s">
        <v>9</v>
      </c>
      <c r="C23" s="5" t="s">
        <v>11</v>
      </c>
      <c r="D23" s="6">
        <v>43800</v>
      </c>
      <c r="E23" s="7">
        <v>373</v>
      </c>
      <c r="F23" s="6">
        <v>42000</v>
      </c>
    </row>
    <row r="24" spans="1:6" ht="19.5" customHeight="1" x14ac:dyDescent="0.35">
      <c r="A24" s="2" t="s">
        <v>17</v>
      </c>
      <c r="B24" s="2" t="s">
        <v>10</v>
      </c>
      <c r="C24" s="2" t="s">
        <v>13</v>
      </c>
      <c r="D24" s="3">
        <v>32100</v>
      </c>
      <c r="E24" s="4">
        <v>51</v>
      </c>
      <c r="F24" s="3">
        <v>31000</v>
      </c>
    </row>
    <row r="25" spans="1:6" ht="19.5" customHeight="1" x14ac:dyDescent="0.35">
      <c r="A25" s="5" t="s">
        <v>17</v>
      </c>
      <c r="B25" s="5" t="s">
        <v>12</v>
      </c>
      <c r="C25" s="5" t="s">
        <v>13</v>
      </c>
      <c r="D25" s="6">
        <v>36400</v>
      </c>
      <c r="E25" s="7">
        <v>58</v>
      </c>
      <c r="F25" s="6">
        <v>35000</v>
      </c>
    </row>
    <row r="26" spans="1:6" ht="19.5" customHeight="1" x14ac:dyDescent="0.35">
      <c r="A26" s="2" t="s">
        <v>17</v>
      </c>
      <c r="B26" s="2" t="s">
        <v>7</v>
      </c>
      <c r="C26" s="2" t="s">
        <v>8</v>
      </c>
      <c r="D26" s="3">
        <v>96700</v>
      </c>
      <c r="E26" s="4">
        <v>162</v>
      </c>
      <c r="F26" s="3">
        <v>92000</v>
      </c>
    </row>
    <row r="27" spans="1:6" ht="19.5" customHeight="1" x14ac:dyDescent="0.35">
      <c r="A27" s="5" t="s">
        <v>18</v>
      </c>
      <c r="B27" s="5" t="s">
        <v>9</v>
      </c>
      <c r="C27" s="5" t="s">
        <v>8</v>
      </c>
      <c r="D27" s="6">
        <v>79200</v>
      </c>
      <c r="E27" s="7">
        <v>126</v>
      </c>
      <c r="F27" s="6">
        <v>78000</v>
      </c>
    </row>
    <row r="28" spans="1:6" ht="19.5" customHeight="1" x14ac:dyDescent="0.35">
      <c r="A28" s="2" t="s">
        <v>18</v>
      </c>
      <c r="B28" s="2" t="s">
        <v>10</v>
      </c>
      <c r="C28" s="2" t="s">
        <v>8</v>
      </c>
      <c r="D28" s="3">
        <v>85400</v>
      </c>
      <c r="E28" s="4">
        <v>136</v>
      </c>
      <c r="F28" s="3">
        <v>83000</v>
      </c>
    </row>
    <row r="29" spans="1:6" ht="19.5" customHeight="1" x14ac:dyDescent="0.35">
      <c r="A29" s="5" t="s">
        <v>18</v>
      </c>
      <c r="B29" s="5" t="s">
        <v>12</v>
      </c>
      <c r="C29" s="5" t="s">
        <v>11</v>
      </c>
      <c r="D29" s="6">
        <v>53100</v>
      </c>
      <c r="E29" s="7">
        <v>451</v>
      </c>
      <c r="F29" s="6">
        <v>50000</v>
      </c>
    </row>
    <row r="30" spans="1:6" ht="19.5" customHeight="1" x14ac:dyDescent="0.35">
      <c r="A30" s="2" t="s">
        <v>18</v>
      </c>
      <c r="B30" s="2" t="s">
        <v>7</v>
      </c>
      <c r="C30" s="2" t="s">
        <v>11</v>
      </c>
      <c r="D30" s="3">
        <v>47900</v>
      </c>
      <c r="E30" s="4">
        <v>407</v>
      </c>
      <c r="F30" s="3">
        <v>46000</v>
      </c>
    </row>
    <row r="31" spans="1:6" ht="19.5" customHeight="1" x14ac:dyDescent="0.35">
      <c r="A31" s="5" t="s">
        <v>18</v>
      </c>
      <c r="B31" s="5" t="s">
        <v>9</v>
      </c>
      <c r="C31" s="5" t="s">
        <v>13</v>
      </c>
      <c r="D31" s="6">
        <v>30200</v>
      </c>
      <c r="E31" s="7">
        <v>48</v>
      </c>
      <c r="F31" s="6">
        <v>29000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Normal="100" workbookViewId="0"/>
  </sheetViews>
  <sheetFormatPr defaultColWidth="8.6328125" defaultRowHeight="14.5" x14ac:dyDescent="0.35"/>
  <cols>
    <col min="1" max="1" width="10" customWidth="1"/>
    <col min="2" max="3" width="17" customWidth="1"/>
    <col min="4" max="4" width="15" customWidth="1"/>
    <col min="5" max="5" width="14" customWidth="1"/>
    <col min="6" max="6" width="12" customWidth="1"/>
    <col min="7" max="7" width="13" customWidth="1"/>
  </cols>
  <sheetData>
    <row r="1" spans="1:7" ht="37.5" customHeight="1" x14ac:dyDescent="0.35">
      <c r="A1" s="19" t="s">
        <v>19</v>
      </c>
      <c r="B1" s="19"/>
      <c r="C1" s="19"/>
      <c r="D1" s="19"/>
      <c r="E1" s="19"/>
      <c r="F1" s="19"/>
      <c r="G1" s="19"/>
    </row>
    <row r="2" spans="1:7" ht="15.75" customHeight="1" x14ac:dyDescent="0.35">
      <c r="A2" s="20" t="s">
        <v>20</v>
      </c>
      <c r="B2" s="20"/>
      <c r="C2" s="20"/>
      <c r="D2" s="20"/>
      <c r="E2" s="20"/>
      <c r="F2" s="20"/>
      <c r="G2" s="20"/>
    </row>
    <row r="4" spans="1:7" ht="24" customHeight="1" x14ac:dyDescent="0.35">
      <c r="A4" s="21" t="s">
        <v>21</v>
      </c>
      <c r="B4" s="21"/>
      <c r="C4" s="21"/>
      <c r="D4" s="21"/>
      <c r="E4" s="21"/>
      <c r="F4" s="21"/>
      <c r="G4" s="21"/>
    </row>
    <row r="5" spans="1:7" ht="24" customHeight="1" x14ac:dyDescent="0.35">
      <c r="A5" s="8" t="s">
        <v>0</v>
      </c>
      <c r="B5" s="8" t="s">
        <v>22</v>
      </c>
      <c r="C5" s="8" t="s">
        <v>23</v>
      </c>
      <c r="D5" s="8" t="s">
        <v>24</v>
      </c>
      <c r="E5" s="8" t="s">
        <v>25</v>
      </c>
      <c r="F5" s="8" t="s">
        <v>26</v>
      </c>
      <c r="G5" s="8" t="s">
        <v>27</v>
      </c>
    </row>
    <row r="6" spans="1:7" ht="19.5" customHeight="1" x14ac:dyDescent="0.35">
      <c r="A6" s="9" t="s">
        <v>6</v>
      </c>
      <c r="B6" s="23">
        <v>254900</v>
      </c>
      <c r="C6" s="23">
        <v>253000</v>
      </c>
      <c r="D6" s="23">
        <v>1900</v>
      </c>
      <c r="E6" s="24">
        <v>1.0075098814229249</v>
      </c>
      <c r="F6" s="2" t="s">
        <v>43</v>
      </c>
      <c r="G6" s="2" t="s">
        <v>7</v>
      </c>
    </row>
    <row r="7" spans="1:7" ht="19.5" customHeight="1" x14ac:dyDescent="0.35">
      <c r="A7" s="10" t="s">
        <v>14</v>
      </c>
      <c r="B7" s="25">
        <v>256800</v>
      </c>
      <c r="C7" s="25">
        <v>256000</v>
      </c>
      <c r="D7" s="25">
        <v>800</v>
      </c>
      <c r="E7" s="26">
        <v>1.003125</v>
      </c>
      <c r="F7" s="5" t="s">
        <v>43</v>
      </c>
      <c r="G7" s="5" t="s">
        <v>7</v>
      </c>
    </row>
    <row r="8" spans="1:7" ht="19.5" customHeight="1" x14ac:dyDescent="0.35">
      <c r="A8" s="9" t="s">
        <v>15</v>
      </c>
      <c r="B8" s="23">
        <v>274200</v>
      </c>
      <c r="C8" s="23">
        <v>264000</v>
      </c>
      <c r="D8" s="23">
        <v>10200</v>
      </c>
      <c r="E8" s="24">
        <v>1.0386363636363636</v>
      </c>
      <c r="F8" s="2" t="s">
        <v>43</v>
      </c>
      <c r="G8" s="2" t="s">
        <v>7</v>
      </c>
    </row>
    <row r="9" spans="1:7" ht="19.5" customHeight="1" x14ac:dyDescent="0.35">
      <c r="A9" s="10" t="s">
        <v>16</v>
      </c>
      <c r="B9" s="25">
        <v>271300</v>
      </c>
      <c r="C9" s="25">
        <v>264000</v>
      </c>
      <c r="D9" s="25">
        <v>7300</v>
      </c>
      <c r="E9" s="26">
        <v>1.0276515151515151</v>
      </c>
      <c r="F9" s="5" t="s">
        <v>43</v>
      </c>
      <c r="G9" s="5" t="s">
        <v>12</v>
      </c>
    </row>
    <row r="10" spans="1:7" ht="19.5" customHeight="1" x14ac:dyDescent="0.35">
      <c r="A10" s="9" t="s">
        <v>17</v>
      </c>
      <c r="B10" s="23">
        <v>260400</v>
      </c>
      <c r="C10" s="23">
        <v>249000</v>
      </c>
      <c r="D10" s="23">
        <v>11400</v>
      </c>
      <c r="E10" s="24">
        <v>1.0457831325301206</v>
      </c>
      <c r="F10" s="2" t="s">
        <v>43</v>
      </c>
      <c r="G10" s="2" t="s">
        <v>7</v>
      </c>
    </row>
    <row r="11" spans="1:7" ht="19.5" customHeight="1" x14ac:dyDescent="0.35">
      <c r="A11" s="10" t="s">
        <v>18</v>
      </c>
      <c r="B11" s="25">
        <v>295800</v>
      </c>
      <c r="C11" s="25">
        <v>286000</v>
      </c>
      <c r="D11" s="25">
        <v>9800</v>
      </c>
      <c r="E11" s="26">
        <v>1.0342657342657342</v>
      </c>
      <c r="F11" s="5" t="s">
        <v>43</v>
      </c>
      <c r="G11" s="5" t="s">
        <v>7</v>
      </c>
    </row>
    <row r="13" spans="1:7" ht="24" customHeight="1" x14ac:dyDescent="0.35">
      <c r="A13" s="21" t="s">
        <v>28</v>
      </c>
      <c r="B13" s="21"/>
      <c r="C13" s="21"/>
      <c r="D13" s="21"/>
      <c r="E13" s="21"/>
      <c r="F13" s="21"/>
      <c r="G13" s="21"/>
    </row>
    <row r="14" spans="1:7" ht="24" customHeight="1" x14ac:dyDescent="0.35">
      <c r="A14" s="8" t="s">
        <v>2</v>
      </c>
      <c r="B14" s="8" t="s">
        <v>22</v>
      </c>
      <c r="C14" s="8" t="s">
        <v>29</v>
      </c>
      <c r="D14" s="8" t="s">
        <v>30</v>
      </c>
      <c r="E14" s="8" t="s">
        <v>31</v>
      </c>
      <c r="F14" s="8" t="s">
        <v>32</v>
      </c>
      <c r="G14" s="8"/>
    </row>
    <row r="15" spans="1:7" ht="19.5" customHeight="1" x14ac:dyDescent="0.35">
      <c r="A15" s="10" t="s">
        <v>8</v>
      </c>
      <c r="B15" s="25">
        <v>873500</v>
      </c>
      <c r="C15" s="27">
        <v>1417</v>
      </c>
      <c r="D15" s="25">
        <v>616.44318983768528</v>
      </c>
      <c r="E15" s="26">
        <v>0.54140324779967774</v>
      </c>
      <c r="F15" s="5" t="s">
        <v>15</v>
      </c>
      <c r="G15" s="5"/>
    </row>
    <row r="16" spans="1:7" ht="19.5" customHeight="1" x14ac:dyDescent="0.35">
      <c r="A16" s="9" t="s">
        <v>11</v>
      </c>
      <c r="B16" s="23">
        <v>454400</v>
      </c>
      <c r="C16" s="28">
        <v>3863</v>
      </c>
      <c r="D16" s="23">
        <v>117.62878591768056</v>
      </c>
      <c r="E16" s="24">
        <v>0.28164125449361599</v>
      </c>
      <c r="F16" s="2" t="s">
        <v>15</v>
      </c>
      <c r="G16" s="2"/>
    </row>
    <row r="17" spans="1:7" ht="19.5" customHeight="1" x14ac:dyDescent="0.35">
      <c r="A17" s="10" t="s">
        <v>13</v>
      </c>
      <c r="B17" s="25">
        <v>285500</v>
      </c>
      <c r="C17" s="27">
        <v>456</v>
      </c>
      <c r="D17" s="25">
        <v>626.09649122807014</v>
      </c>
      <c r="E17" s="26">
        <v>0.17695549770670632</v>
      </c>
      <c r="F17" s="5" t="s">
        <v>15</v>
      </c>
      <c r="G17" s="5"/>
    </row>
    <row r="19" spans="1:7" ht="24" customHeight="1" x14ac:dyDescent="0.35">
      <c r="A19" s="21" t="s">
        <v>33</v>
      </c>
      <c r="B19" s="21"/>
      <c r="C19" s="21"/>
      <c r="D19" s="21"/>
      <c r="E19" s="21"/>
      <c r="F19" s="21"/>
      <c r="G19" s="21"/>
    </row>
    <row r="20" spans="1:7" ht="21.75" customHeight="1" x14ac:dyDescent="0.35">
      <c r="A20" s="11" t="s">
        <v>34</v>
      </c>
      <c r="B20" s="11" t="s">
        <v>29</v>
      </c>
      <c r="C20" s="11" t="s">
        <v>35</v>
      </c>
      <c r="D20" s="11" t="s">
        <v>32</v>
      </c>
      <c r="E20" s="11" t="s">
        <v>36</v>
      </c>
      <c r="F20" s="11" t="s">
        <v>37</v>
      </c>
    </row>
    <row r="21" spans="1:7" ht="31.5" customHeight="1" x14ac:dyDescent="0.35">
      <c r="A21" s="29">
        <v>1613400</v>
      </c>
      <c r="B21" s="30">
        <v>5736</v>
      </c>
      <c r="C21" s="29">
        <v>268900</v>
      </c>
      <c r="D21" s="12" t="s">
        <v>18</v>
      </c>
      <c r="E21" s="31">
        <v>1.0263358778625955</v>
      </c>
      <c r="F21" s="12" t="s">
        <v>8</v>
      </c>
    </row>
    <row r="23" spans="1:7" ht="21.75" customHeight="1" x14ac:dyDescent="0.35">
      <c r="A23" s="18" t="s">
        <v>38</v>
      </c>
      <c r="B23" s="18"/>
      <c r="C23" s="18"/>
      <c r="D23" s="18"/>
      <c r="E23" s="18"/>
      <c r="F23" s="18"/>
      <c r="G23" s="18"/>
    </row>
  </sheetData>
  <mergeCells count="6">
    <mergeCell ref="A23:G23"/>
    <mergeCell ref="A1:G1"/>
    <mergeCell ref="A2:G2"/>
    <mergeCell ref="A4:G4"/>
    <mergeCell ref="A13:G13"/>
    <mergeCell ref="A19:G19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7"/>
  <sheetViews>
    <sheetView showGridLines="0" zoomScaleNormal="100" workbookViewId="0"/>
  </sheetViews>
  <sheetFormatPr defaultColWidth="8.6328125" defaultRowHeight="14.5" x14ac:dyDescent="0.35"/>
  <cols>
    <col min="1" max="1" width="14" customWidth="1"/>
    <col min="2" max="2" width="18" customWidth="1"/>
    <col min="3" max="3" width="14" customWidth="1"/>
    <col min="4" max="4" width="16" customWidth="1"/>
    <col min="5" max="5" width="18" customWidth="1"/>
  </cols>
  <sheetData>
    <row r="1" spans="1:5" ht="33.75" customHeight="1" x14ac:dyDescent="0.35">
      <c r="A1" s="22" t="s">
        <v>39</v>
      </c>
      <c r="B1" s="22"/>
      <c r="C1" s="22"/>
      <c r="D1" s="22"/>
      <c r="E1" s="22"/>
    </row>
    <row r="2" spans="1:5" ht="24" customHeight="1" x14ac:dyDescent="0.35">
      <c r="A2" s="8" t="s">
        <v>1</v>
      </c>
      <c r="B2" s="8" t="s">
        <v>22</v>
      </c>
      <c r="C2" s="8" t="s">
        <v>29</v>
      </c>
      <c r="D2" s="8" t="s">
        <v>40</v>
      </c>
      <c r="E2" s="8" t="s">
        <v>41</v>
      </c>
    </row>
    <row r="3" spans="1:5" ht="19.5" customHeight="1" x14ac:dyDescent="0.35">
      <c r="A3" s="10" t="s">
        <v>7</v>
      </c>
      <c r="B3" s="6">
        <f>SUMIF('Raw Data'!B:B,A3,'Raw Data'!D:D)</f>
        <v>480900</v>
      </c>
      <c r="C3" s="7">
        <f>SUMIF('Raw Data'!B:B,A3,'Raw Data'!E:E)</f>
        <v>1781</v>
      </c>
      <c r="D3" s="6">
        <f>IFERROR(B3/C3,0)</f>
        <v>270.01684446939919</v>
      </c>
      <c r="E3" s="13">
        <f>COUNTIFS('Raw Data'!B:B,A3,'Raw Data'!C:C,"Electronics")+COUNTIFS('Raw Data'!B:B,A3,'Raw Data'!C:C,"Clothing")+COUNTIFS('Raw Data'!B:B,A3,'Raw Data'!C:C,"Furniture")</f>
        <v>8</v>
      </c>
    </row>
    <row r="4" spans="1:5" ht="19.5" customHeight="1" x14ac:dyDescent="0.35">
      <c r="A4" s="9" t="s">
        <v>9</v>
      </c>
      <c r="B4" s="3">
        <f>SUMIF('Raw Data'!B:B,A4,'Raw Data'!D:D)</f>
        <v>390200</v>
      </c>
      <c r="C4" s="4">
        <f>SUMIF('Raw Data'!B:B,A4,'Raw Data'!E:E)</f>
        <v>1193</v>
      </c>
      <c r="D4" s="3">
        <f>IFERROR(B4/C4,0)</f>
        <v>327.07460184409052</v>
      </c>
      <c r="E4" s="14">
        <f>COUNTIFS('Raw Data'!B:B,A4,'Raw Data'!C:C,"Electronics")+COUNTIFS('Raw Data'!B:B,A4,'Raw Data'!C:C,"Clothing")+COUNTIFS('Raw Data'!B:B,A4,'Raw Data'!C:C,"Furniture")</f>
        <v>8</v>
      </c>
    </row>
    <row r="5" spans="1:5" ht="19.5" customHeight="1" x14ac:dyDescent="0.35">
      <c r="A5" s="10" t="s">
        <v>10</v>
      </c>
      <c r="B5" s="6">
        <f>SUMIF('Raw Data'!B:B,A5,'Raw Data'!D:D)</f>
        <v>381600</v>
      </c>
      <c r="C5" s="7">
        <f>SUMIF('Raw Data'!B:B,A5,'Raw Data'!E:E)</f>
        <v>1209</v>
      </c>
      <c r="D5" s="6">
        <f>IFERROR(B5/C5,0)</f>
        <v>315.63275434243178</v>
      </c>
      <c r="E5" s="13">
        <f>COUNTIFS('Raw Data'!B:B,A5,'Raw Data'!C:C,"Electronics")+COUNTIFS('Raw Data'!B:B,A5,'Raw Data'!C:C,"Clothing")+COUNTIFS('Raw Data'!B:B,A5,'Raw Data'!C:C,"Furniture")</f>
        <v>7</v>
      </c>
    </row>
    <row r="6" spans="1:5" ht="19.5" customHeight="1" x14ac:dyDescent="0.35">
      <c r="A6" s="9" t="s">
        <v>12</v>
      </c>
      <c r="B6" s="3">
        <f>SUMIF('Raw Data'!B:B,A6,'Raw Data'!D:D)</f>
        <v>360700</v>
      </c>
      <c r="C6" s="4">
        <f>SUMIF('Raw Data'!B:B,A6,'Raw Data'!E:E)</f>
        <v>1553</v>
      </c>
      <c r="D6" s="3">
        <f>IFERROR(B6/C6,0)</f>
        <v>232.26014166130071</v>
      </c>
      <c r="E6" s="14">
        <f>COUNTIFS('Raw Data'!B:B,A6,'Raw Data'!C:C,"Electronics")+COUNTIFS('Raw Data'!B:B,A6,'Raw Data'!C:C,"Clothing")+COUNTIFS('Raw Data'!B:B,A6,'Raw Data'!C:C,"Furniture")</f>
        <v>7</v>
      </c>
    </row>
    <row r="7" spans="1:5" ht="24" customHeight="1" x14ac:dyDescent="0.35">
      <c r="A7" s="1" t="s">
        <v>42</v>
      </c>
      <c r="B7" s="15">
        <f>SUM(B3:B6)</f>
        <v>1613400</v>
      </c>
      <c r="C7" s="16">
        <f>SUM(C3:C6)</f>
        <v>5736</v>
      </c>
      <c r="D7" s="15">
        <f>IFERROR(B7/C7,0)</f>
        <v>281.27615062761504</v>
      </c>
      <c r="E7" s="17"/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Monthly Summary</vt:lpstr>
      <vt:lpstr>Region 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Sherwin D'Souza</cp:lastModifiedBy>
  <cp:revision>0</cp:revision>
  <dcterms:created xsi:type="dcterms:W3CDTF">2026-03-18T05:46:50Z</dcterms:created>
  <dcterms:modified xsi:type="dcterms:W3CDTF">2026-03-18T06:13:20Z</dcterms:modified>
  <dc:language>en-US</dc:language>
</cp:coreProperties>
</file>